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SDA\"/>
    </mc:Choice>
  </mc:AlternateContent>
  <xr:revisionPtr revIDLastSave="0" documentId="13_ncr:1_{BC87916D-728D-47D8-9C01-8C158076F2B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mployee-1" sheetId="1" r:id="rId1"/>
    <sheet name="Employee-2" sheetId="2" r:id="rId2"/>
    <sheet name="Book-Library" sheetId="3" r:id="rId3"/>
    <sheet name="Students_Exam_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4" l="1"/>
  <c r="P4" i="4"/>
  <c r="P5" i="4"/>
  <c r="P6" i="4"/>
  <c r="P7" i="4"/>
  <c r="P8" i="4"/>
  <c r="P9" i="4"/>
  <c r="P10" i="4"/>
  <c r="P11" i="4"/>
  <c r="P2" i="4"/>
  <c r="O3" i="4"/>
  <c r="O4" i="4"/>
  <c r="O5" i="4"/>
  <c r="O6" i="4"/>
  <c r="O7" i="4"/>
  <c r="O8" i="4"/>
  <c r="O9" i="4"/>
  <c r="O10" i="4"/>
  <c r="O11" i="4"/>
  <c r="O2" i="4"/>
  <c r="N3" i="4"/>
  <c r="N4" i="4"/>
  <c r="N5" i="4"/>
  <c r="N6" i="4"/>
  <c r="N7" i="4"/>
  <c r="N8" i="4"/>
  <c r="N9" i="4"/>
  <c r="N10" i="4"/>
  <c r="N11" i="4"/>
  <c r="N2" i="4"/>
  <c r="M3" i="4" a="1"/>
  <c r="M3" i="4" s="1"/>
  <c r="M4" i="4" a="1"/>
  <c r="M4" i="4"/>
  <c r="M5" i="4" a="1"/>
  <c r="M5" i="4" s="1"/>
  <c r="M6" i="4" a="1"/>
  <c r="M6" i="4"/>
  <c r="M7" i="4" a="1"/>
  <c r="M7" i="4" s="1"/>
  <c r="M8" i="4" a="1"/>
  <c r="M8" i="4"/>
  <c r="M9" i="4" a="1"/>
  <c r="M9" i="4" s="1"/>
  <c r="M10" i="4" a="1"/>
  <c r="M10" i="4" s="1"/>
  <c r="M11" i="4" a="1"/>
  <c r="M11" i="4" s="1"/>
  <c r="M2" i="4" a="1"/>
  <c r="M2" i="4" s="1"/>
  <c r="D12" i="4"/>
  <c r="K2" i="4"/>
  <c r="J2" i="4"/>
  <c r="L3" i="4"/>
  <c r="L4" i="4"/>
  <c r="L5" i="4"/>
  <c r="L6" i="4"/>
  <c r="L7" i="4"/>
  <c r="L8" i="4"/>
  <c r="L9" i="4"/>
  <c r="L10" i="4"/>
  <c r="L11" i="4"/>
  <c r="L2" i="4"/>
  <c r="I2" i="4"/>
  <c r="H3" i="4" a="1"/>
  <c r="H3" i="4" s="1"/>
  <c r="H4" i="4" a="1"/>
  <c r="H4" i="4" s="1"/>
  <c r="H5" i="4" a="1"/>
  <c r="H5" i="4" s="1"/>
  <c r="H6" i="4" a="1"/>
  <c r="H6" i="4" s="1"/>
  <c r="H7" i="4" a="1"/>
  <c r="H7" i="4" s="1"/>
  <c r="H8" i="4" a="1"/>
  <c r="H8" i="4"/>
  <c r="H9" i="4" a="1"/>
  <c r="H9" i="4" s="1"/>
  <c r="H10" i="4" a="1"/>
  <c r="H10" i="4"/>
  <c r="H11" i="4" a="1"/>
  <c r="H11" i="4" s="1"/>
  <c r="H2" i="4" a="1"/>
  <c r="H2" i="4" s="1"/>
  <c r="G3" i="4"/>
  <c r="G4" i="4"/>
  <c r="G5" i="4"/>
  <c r="G6" i="4"/>
  <c r="G7" i="4"/>
  <c r="G8" i="4"/>
  <c r="G9" i="4"/>
  <c r="G10" i="4"/>
  <c r="G11" i="4"/>
  <c r="G2" i="4"/>
  <c r="J2" i="3"/>
  <c r="J3" i="3"/>
  <c r="J4" i="3"/>
  <c r="J5" i="3"/>
  <c r="J6" i="3"/>
  <c r="J7" i="3"/>
  <c r="J8" i="3"/>
  <c r="J9" i="3"/>
  <c r="J10" i="3"/>
  <c r="J11" i="3"/>
  <c r="I3" i="3"/>
  <c r="I4" i="3"/>
  <c r="I5" i="3"/>
  <c r="I6" i="3"/>
  <c r="I7" i="3"/>
  <c r="I8" i="3"/>
  <c r="I9" i="3"/>
  <c r="I10" i="3"/>
  <c r="I11" i="3"/>
  <c r="I2" i="3"/>
  <c r="H2" i="3"/>
  <c r="G3" i="3"/>
  <c r="G4" i="3"/>
  <c r="G5" i="3"/>
  <c r="G6" i="3"/>
  <c r="G7" i="3"/>
  <c r="G8" i="3"/>
  <c r="G9" i="3"/>
  <c r="G10" i="3"/>
  <c r="G11" i="3"/>
  <c r="G2" i="3"/>
  <c r="F3" i="3"/>
  <c r="F4" i="3"/>
  <c r="F5" i="3"/>
  <c r="F6" i="3"/>
  <c r="F7" i="3"/>
  <c r="F8" i="3"/>
  <c r="F9" i="3"/>
  <c r="F10" i="3"/>
  <c r="F11" i="3"/>
  <c r="F2" i="3"/>
  <c r="E3" i="3"/>
  <c r="E4" i="3"/>
  <c r="E5" i="3"/>
  <c r="E6" i="3"/>
  <c r="E7" i="3"/>
  <c r="E8" i="3"/>
  <c r="E9" i="3"/>
  <c r="E10" i="3"/>
  <c r="E11" i="3"/>
  <c r="E2" i="3"/>
  <c r="B20" i="3"/>
  <c r="B19" i="3"/>
  <c r="F19" i="2" a="1"/>
  <c r="F19" i="2" s="1"/>
  <c r="E28" i="2"/>
  <c r="E27" i="2"/>
  <c r="E20" i="2"/>
  <c r="E21" i="2"/>
  <c r="E22" i="2"/>
  <c r="E23" i="2"/>
  <c r="E24" i="2"/>
  <c r="E25" i="2"/>
  <c r="E26" i="2"/>
  <c r="E1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<sst xmlns="http://schemas.openxmlformats.org/spreadsheetml/2006/main" count="179" uniqueCount="127">
  <si>
    <t>Emp ID</t>
  </si>
  <si>
    <t>Employee</t>
  </si>
  <si>
    <t>Department</t>
  </si>
  <si>
    <t>Salary</t>
  </si>
  <si>
    <t>Bonus</t>
  </si>
  <si>
    <t>Working Days</t>
  </si>
  <si>
    <t>Amit</t>
  </si>
  <si>
    <t>Sales</t>
  </si>
  <si>
    <t>Priya</t>
  </si>
  <si>
    <t>HR</t>
  </si>
  <si>
    <t>Rahul</t>
  </si>
  <si>
    <t>IT</t>
  </si>
  <si>
    <t>Sneha</t>
  </si>
  <si>
    <t>Finance</t>
  </si>
  <si>
    <t>Karan</t>
  </si>
  <si>
    <t>Marketing</t>
  </si>
  <si>
    <t>Neha</t>
  </si>
  <si>
    <t>Arjun</t>
  </si>
  <si>
    <t>Meera</t>
  </si>
  <si>
    <t>Rohan</t>
  </si>
  <si>
    <t>Pooja</t>
  </si>
  <si>
    <t>First Name</t>
  </si>
  <si>
    <t>Last Name</t>
  </si>
  <si>
    <t>City</t>
  </si>
  <si>
    <t>Email</t>
  </si>
  <si>
    <t>Sharma</t>
  </si>
  <si>
    <t>Pune</t>
  </si>
  <si>
    <t>amit.sharma@gmail.com</t>
  </si>
  <si>
    <t>Verma</t>
  </si>
  <si>
    <t>Mumbai</t>
  </si>
  <si>
    <t>priya.verma@yahoo.com</t>
  </si>
  <si>
    <t>Patil</t>
  </si>
  <si>
    <t>Nashik</t>
  </si>
  <si>
    <t>rahul.patil@company.com</t>
  </si>
  <si>
    <t>Joshi</t>
  </si>
  <si>
    <t>Nagpur</t>
  </si>
  <si>
    <t>sneha.joshi@gmail.com</t>
  </si>
  <si>
    <t>Mehta</t>
  </si>
  <si>
    <t>Thane</t>
  </si>
  <si>
    <t>karan.mehta@outlook.com</t>
  </si>
  <si>
    <t>Kulkarni</t>
  </si>
  <si>
    <t>neha.kulkarni@gmail.com</t>
  </si>
  <si>
    <t>Singh</t>
  </si>
  <si>
    <t>Delhi</t>
  </si>
  <si>
    <t>arjun.singh@yahoo.com</t>
  </si>
  <si>
    <t>Desai</t>
  </si>
  <si>
    <t>Surat</t>
  </si>
  <si>
    <t>meera.desai@gmail.com</t>
  </si>
  <si>
    <t>Gupta</t>
  </si>
  <si>
    <t>Jaipur</t>
  </si>
  <si>
    <t>rohan.gupta@company.com</t>
  </si>
  <si>
    <t>Nair</t>
  </si>
  <si>
    <t>Kochi</t>
  </si>
  <si>
    <t>pooja.nair@gmail.com</t>
  </si>
  <si>
    <t>Book ID</t>
  </si>
  <si>
    <t>Book Name</t>
  </si>
  <si>
    <t>Issue Date</t>
  </si>
  <si>
    <t>Return Date</t>
  </si>
  <si>
    <t>Python Basics</t>
  </si>
  <si>
    <t>Data Science Essentials</t>
  </si>
  <si>
    <t>SQL for Beginners</t>
  </si>
  <si>
    <t>Machine Learning</t>
  </si>
  <si>
    <t>Excel Mastery</t>
  </si>
  <si>
    <t>Power BI Guide</t>
  </si>
  <si>
    <t>Statistics Basics</t>
  </si>
  <si>
    <t>C Programming</t>
  </si>
  <si>
    <t>Java Fundamentals</t>
  </si>
  <si>
    <t>Web Development</t>
  </si>
  <si>
    <t>Student ID</t>
  </si>
  <si>
    <t>Student Name</t>
  </si>
  <si>
    <t>Course</t>
  </si>
  <si>
    <t>Marks</t>
  </si>
  <si>
    <t>Attendance (%)</t>
  </si>
  <si>
    <t>Fee Status</t>
  </si>
  <si>
    <t>Aditi</t>
  </si>
  <si>
    <t>Python</t>
  </si>
  <si>
    <t>Paid</t>
  </si>
  <si>
    <t>SQL</t>
  </si>
  <si>
    <t>Pending</t>
  </si>
  <si>
    <t>Excel</t>
  </si>
  <si>
    <t>Power BI</t>
  </si>
  <si>
    <t xml:space="preserve">Find function for any occurance </t>
  </si>
  <si>
    <t xml:space="preserve">Search </t>
  </si>
  <si>
    <t>Textbefore function</t>
  </si>
  <si>
    <t>DAY</t>
  </si>
  <si>
    <t>MONTH</t>
  </si>
  <si>
    <t>YEAR</t>
  </si>
  <si>
    <t>DATE</t>
  </si>
  <si>
    <t>Ctrl+ semi collen ;</t>
  </si>
  <si>
    <t>TODAY()</t>
  </si>
  <si>
    <t>NOW()</t>
  </si>
  <si>
    <t xml:space="preserve">Extract Day from Date </t>
  </si>
  <si>
    <t xml:space="preserve">Extract Month from Date </t>
  </si>
  <si>
    <t>Extract Year from Date</t>
  </si>
  <si>
    <t>Date function</t>
  </si>
  <si>
    <t>datedif : Number of days issued</t>
  </si>
  <si>
    <t>Weekday</t>
  </si>
  <si>
    <t>Conditional functions are used to perform calculations or return results based on one or more specified conditions</t>
  </si>
  <si>
    <t>IF() - Return one value if a condition is true and another value if it is false</t>
  </si>
  <si>
    <t>AVERAGEIF()</t>
  </si>
  <si>
    <t>COUNTIF()</t>
  </si>
  <si>
    <t>IFERROR()</t>
  </si>
  <si>
    <t>IFS()</t>
  </si>
  <si>
    <t>Display Pass /Fail using IF</t>
  </si>
  <si>
    <t>Logical Functions</t>
  </si>
  <si>
    <t>AND()</t>
  </si>
  <si>
    <t>OR()</t>
  </si>
  <si>
    <t>NOT()</t>
  </si>
  <si>
    <t>Pass / Fail</t>
  </si>
  <si>
    <t>QUESTIONS</t>
  </si>
  <si>
    <t>SWITCH() ReturnS A RESULT BASED ON MATCHING VALUE WITH MULTIPLE POSSIBLE CASES</t>
  </si>
  <si>
    <t>Assign Trainer according to course</t>
  </si>
  <si>
    <t>TRAINER</t>
  </si>
  <si>
    <t xml:space="preserve">SUMIF() Adds Value </t>
  </si>
  <si>
    <t xml:space="preserve">Total marks of Python students </t>
  </si>
  <si>
    <t xml:space="preserve">with the help of sumif calculate the total marks of Python students </t>
  </si>
  <si>
    <t xml:space="preserve">Find the Average marks of excel Students using </t>
  </si>
  <si>
    <t>Average of Excel Student</t>
  </si>
  <si>
    <t>Count of students with pending fees</t>
  </si>
  <si>
    <t>Marks/Attendance</t>
  </si>
  <si>
    <t>Grade (IFS)</t>
  </si>
  <si>
    <t xml:space="preserve">Eligibility </t>
  </si>
  <si>
    <t>Check eleigibilty using AND function</t>
  </si>
  <si>
    <t>Find students needing a retest using or</t>
  </si>
  <si>
    <t>Re-Test</t>
  </si>
  <si>
    <t>Check whether the fees is not paid usinfg NOT</t>
  </si>
  <si>
    <t xml:space="preserve">Fees not paid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</si>
</sst>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m/yy"/>
    <numFmt numFmtId="165" formatCode="0_);[Red]\(0\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i/>
      <sz val="11"/>
      <color theme="1"/>
      <name val="Calibri"/>
      <charset val="134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165" fontId="1" fillId="0" borderId="0" xfId="0" applyNumberFormat="1" applyFont="1" applyAlignment="1">
      <alignment horizontal="right" vertical="center" wrapText="1"/>
    </xf>
    <xf numFmtId="10" fontId="1" fillId="0" borderId="0" xfId="0" applyNumberFormat="1" applyFont="1">
      <alignment vertical="center"/>
    </xf>
    <xf numFmtId="0" fontId="3" fillId="0" borderId="0" xfId="0" applyFont="1" applyAlignment="1">
      <alignment horizontal="right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4" fontId="1" fillId="0" borderId="0" xfId="0" applyNumberFormat="1" applyFont="1">
      <alignment vertical="center"/>
    </xf>
    <xf numFmtId="22" fontId="1" fillId="0" borderId="0" xfId="0" applyNumberFormat="1" applyFont="1">
      <alignment vertical="center"/>
    </xf>
    <xf numFmtId="0" fontId="4" fillId="2" borderId="1" xfId="0" applyFont="1" applyFill="1" applyBorder="1">
      <alignment vertical="center"/>
    </xf>
    <xf numFmtId="0" fontId="5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>
      <alignment vertical="center"/>
    </xf>
    <xf numFmtId="0" fontId="6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4" borderId="2" xfId="0" applyFont="1" applyFill="1" applyBorder="1">
      <alignment vertical="center"/>
    </xf>
    <xf numFmtId="0" fontId="4" fillId="4" borderId="2" xfId="0" applyFont="1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eera.desai@gmail.com" TargetMode="External"/><Relationship Id="rId3" Type="http://schemas.openxmlformats.org/officeDocument/2006/relationships/hyperlink" Target="mailto:rahul.patil@company.com" TargetMode="External"/><Relationship Id="rId7" Type="http://schemas.openxmlformats.org/officeDocument/2006/relationships/hyperlink" Target="mailto:arjun.singh@yahoo.com" TargetMode="External"/><Relationship Id="rId2" Type="http://schemas.openxmlformats.org/officeDocument/2006/relationships/hyperlink" Target="mailto:priya.verma@yahoo.com" TargetMode="External"/><Relationship Id="rId1" Type="http://schemas.openxmlformats.org/officeDocument/2006/relationships/hyperlink" Target="mailto:amit.sharma@gmail.com" TargetMode="External"/><Relationship Id="rId6" Type="http://schemas.openxmlformats.org/officeDocument/2006/relationships/hyperlink" Target="mailto:neha.kulkarni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karan.mehta@outlook.com" TargetMode="External"/><Relationship Id="rId10" Type="http://schemas.openxmlformats.org/officeDocument/2006/relationships/hyperlink" Target="mailto:pooja.nair@gmail.com" TargetMode="External"/><Relationship Id="rId4" Type="http://schemas.openxmlformats.org/officeDocument/2006/relationships/hyperlink" Target="mailto:sneha.joshi@gmail.com" TargetMode="External"/><Relationship Id="rId9" Type="http://schemas.openxmlformats.org/officeDocument/2006/relationships/hyperlink" Target="mailto:rohan.gupta@company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J7" sqref="J7"/>
    </sheetView>
  </sheetViews>
  <sheetFormatPr defaultColWidth="8.77734375" defaultRowHeight="14.4"/>
  <cols>
    <col min="1" max="1" width="13.77734375" style="1" customWidth="1"/>
    <col min="2" max="6" width="15.21875" style="1" customWidth="1"/>
    <col min="7" max="7" width="8.77734375" style="1"/>
    <col min="8" max="8" width="12.77734375" style="1"/>
    <col min="9" max="9" width="11.77734375" style="1"/>
    <col min="10" max="16384" width="8.77734375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9">
      <c r="A2" s="9">
        <v>101</v>
      </c>
      <c r="B2" s="5" t="s">
        <v>6</v>
      </c>
      <c r="C2" s="5" t="s">
        <v>7</v>
      </c>
      <c r="D2" s="10">
        <v>45000</v>
      </c>
      <c r="E2" s="4">
        <v>5000</v>
      </c>
      <c r="F2" s="4">
        <v>22</v>
      </c>
      <c r="H2" s="11"/>
      <c r="I2"/>
    </row>
    <row r="3" spans="1:9">
      <c r="A3" s="9">
        <v>102</v>
      </c>
      <c r="B3" s="5" t="s">
        <v>8</v>
      </c>
      <c r="C3" s="5" t="s">
        <v>9</v>
      </c>
      <c r="D3" s="10">
        <v>38000</v>
      </c>
      <c r="E3" s="4">
        <v>4000</v>
      </c>
      <c r="F3" s="4">
        <v>20</v>
      </c>
      <c r="H3" s="11"/>
      <c r="I3"/>
    </row>
    <row r="4" spans="1:9">
      <c r="A4" s="9">
        <v>103</v>
      </c>
      <c r="B4" s="5" t="s">
        <v>10</v>
      </c>
      <c r="C4" s="5" t="s">
        <v>11</v>
      </c>
      <c r="D4" s="10">
        <v>52000</v>
      </c>
      <c r="E4" s="4">
        <v>6000</v>
      </c>
      <c r="F4" s="4">
        <v>24</v>
      </c>
      <c r="H4" s="11"/>
      <c r="I4"/>
    </row>
    <row r="5" spans="1:9">
      <c r="A5" s="9">
        <v>104</v>
      </c>
      <c r="B5" s="5" t="s">
        <v>12</v>
      </c>
      <c r="C5" s="5" t="s">
        <v>13</v>
      </c>
      <c r="D5" s="10">
        <v>47000</v>
      </c>
      <c r="E5" s="4">
        <v>4500</v>
      </c>
      <c r="F5" s="4">
        <v>23</v>
      </c>
      <c r="H5" s="11"/>
      <c r="I5"/>
    </row>
    <row r="6" spans="1:9">
      <c r="A6" s="9">
        <v>105</v>
      </c>
      <c r="B6" s="5" t="s">
        <v>14</v>
      </c>
      <c r="C6" s="5" t="s">
        <v>15</v>
      </c>
      <c r="D6" s="10">
        <v>41000</v>
      </c>
      <c r="E6" s="12"/>
      <c r="F6" s="4">
        <v>21</v>
      </c>
      <c r="H6" s="11"/>
      <c r="I6"/>
    </row>
    <row r="7" spans="1:9">
      <c r="A7" s="9">
        <v>106</v>
      </c>
      <c r="B7" s="5" t="s">
        <v>16</v>
      </c>
      <c r="C7" s="5" t="s">
        <v>11</v>
      </c>
      <c r="D7" s="10">
        <v>55000</v>
      </c>
      <c r="E7" s="4">
        <v>7000</v>
      </c>
      <c r="F7" s="4">
        <v>25</v>
      </c>
      <c r="H7" s="11"/>
      <c r="I7"/>
    </row>
    <row r="8" spans="1:9">
      <c r="A8" s="9">
        <v>107</v>
      </c>
      <c r="B8" s="5" t="s">
        <v>17</v>
      </c>
      <c r="C8" s="5" t="s">
        <v>7</v>
      </c>
      <c r="D8" s="10">
        <v>43000</v>
      </c>
      <c r="E8" s="4">
        <v>5000</v>
      </c>
      <c r="F8" s="4">
        <v>22</v>
      </c>
      <c r="H8" s="11"/>
      <c r="I8"/>
    </row>
    <row r="9" spans="1:9">
      <c r="A9" s="9">
        <v>108</v>
      </c>
      <c r="B9" s="5" t="s">
        <v>18</v>
      </c>
      <c r="C9" s="5" t="s">
        <v>9</v>
      </c>
      <c r="D9" s="10">
        <v>39000</v>
      </c>
      <c r="E9" s="4">
        <v>3500</v>
      </c>
      <c r="F9" s="4">
        <v>20</v>
      </c>
      <c r="H9" s="11"/>
      <c r="I9"/>
    </row>
    <row r="10" spans="1:9">
      <c r="A10" s="9">
        <v>109</v>
      </c>
      <c r="B10" s="5" t="s">
        <v>19</v>
      </c>
      <c r="C10" s="5" t="s">
        <v>13</v>
      </c>
      <c r="D10" s="10">
        <v>48000</v>
      </c>
      <c r="E10" s="4">
        <v>5500</v>
      </c>
      <c r="F10" s="4">
        <v>24</v>
      </c>
      <c r="H10" s="11"/>
      <c r="I10"/>
    </row>
    <row r="11" spans="1:9">
      <c r="A11" s="9">
        <v>110</v>
      </c>
      <c r="B11" s="5" t="s">
        <v>20</v>
      </c>
      <c r="C11" s="5" t="s">
        <v>15</v>
      </c>
      <c r="D11" s="10">
        <v>42000</v>
      </c>
      <c r="E11" s="4">
        <v>4000</v>
      </c>
      <c r="F11" s="4">
        <v>21</v>
      </c>
      <c r="H11" s="11"/>
      <c r="I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>
      <selection activeCell="F19" sqref="F19"/>
    </sheetView>
  </sheetViews>
  <sheetFormatPr defaultColWidth="8.77734375" defaultRowHeight="14.4"/>
  <cols>
    <col min="1" max="5" width="12.33203125" style="1" customWidth="1"/>
    <col min="6" max="6" width="24.44140625" style="1" customWidth="1"/>
    <col min="7" max="7" width="8.77734375" style="1"/>
    <col min="8" max="8" width="12.6640625" style="1" customWidth="1"/>
    <col min="9" max="9" width="10.33203125" style="1" customWidth="1"/>
    <col min="10" max="10" width="25.21875" style="1" customWidth="1"/>
    <col min="11" max="16384" width="8.77734375" style="1"/>
  </cols>
  <sheetData>
    <row r="1" spans="1:10">
      <c r="A1" s="6" t="s">
        <v>0</v>
      </c>
      <c r="B1" s="7" t="s">
        <v>21</v>
      </c>
      <c r="C1" s="7" t="s">
        <v>22</v>
      </c>
      <c r="D1" s="7" t="s">
        <v>2</v>
      </c>
      <c r="E1" s="7" t="s">
        <v>23</v>
      </c>
      <c r="F1" s="7" t="s">
        <v>24</v>
      </c>
      <c r="H1" s="3"/>
      <c r="I1" s="3"/>
      <c r="J1" s="3"/>
    </row>
    <row r="2" spans="1:10">
      <c r="A2" s="4">
        <v>101</v>
      </c>
      <c r="B2" s="5" t="s">
        <v>6</v>
      </c>
      <c r="C2" s="5" t="s">
        <v>25</v>
      </c>
      <c r="D2" s="5" t="s">
        <v>7</v>
      </c>
      <c r="E2" s="5" t="s">
        <v>26</v>
      </c>
      <c r="F2" s="5" t="s">
        <v>27</v>
      </c>
    </row>
    <row r="3" spans="1:10">
      <c r="A3" s="4">
        <v>102</v>
      </c>
      <c r="B3" s="5" t="s">
        <v>8</v>
      </c>
      <c r="C3" s="5" t="s">
        <v>28</v>
      </c>
      <c r="D3" s="5" t="s">
        <v>9</v>
      </c>
      <c r="E3" s="5" t="s">
        <v>29</v>
      </c>
      <c r="F3" s="5" t="s">
        <v>30</v>
      </c>
    </row>
    <row r="4" spans="1:10">
      <c r="A4" s="4">
        <v>103</v>
      </c>
      <c r="B4" s="5" t="s">
        <v>10</v>
      </c>
      <c r="C4" s="5" t="s">
        <v>31</v>
      </c>
      <c r="D4" s="5" t="s">
        <v>11</v>
      </c>
      <c r="E4" s="5" t="s">
        <v>32</v>
      </c>
      <c r="F4" s="5" t="s">
        <v>33</v>
      </c>
    </row>
    <row r="5" spans="1:10">
      <c r="A5" s="4">
        <v>104</v>
      </c>
      <c r="B5" s="5" t="s">
        <v>12</v>
      </c>
      <c r="C5" s="5" t="s">
        <v>34</v>
      </c>
      <c r="D5" s="5" t="s">
        <v>13</v>
      </c>
      <c r="E5" s="5" t="s">
        <v>35</v>
      </c>
      <c r="F5" s="5" t="s">
        <v>36</v>
      </c>
    </row>
    <row r="6" spans="1:10">
      <c r="A6" s="4">
        <v>105</v>
      </c>
      <c r="B6" s="5" t="s">
        <v>14</v>
      </c>
      <c r="C6" s="5" t="s">
        <v>37</v>
      </c>
      <c r="D6" s="5" t="s">
        <v>15</v>
      </c>
      <c r="E6" s="5" t="s">
        <v>38</v>
      </c>
      <c r="F6" s="5" t="s">
        <v>39</v>
      </c>
    </row>
    <row r="7" spans="1:10">
      <c r="A7" s="4">
        <v>106</v>
      </c>
      <c r="B7" s="5" t="s">
        <v>16</v>
      </c>
      <c r="C7" s="5" t="s">
        <v>40</v>
      </c>
      <c r="D7" s="5" t="s">
        <v>11</v>
      </c>
      <c r="E7" s="5" t="s">
        <v>26</v>
      </c>
      <c r="F7" s="5" t="s">
        <v>41</v>
      </c>
    </row>
    <row r="8" spans="1:10">
      <c r="A8" s="4">
        <v>107</v>
      </c>
      <c r="B8" s="5" t="s">
        <v>17</v>
      </c>
      <c r="C8" s="5" t="s">
        <v>42</v>
      </c>
      <c r="D8" s="5" t="s">
        <v>7</v>
      </c>
      <c r="E8" s="5" t="s">
        <v>43</v>
      </c>
      <c r="F8" s="5" t="s">
        <v>44</v>
      </c>
    </row>
    <row r="9" spans="1:10">
      <c r="A9" s="4">
        <v>108</v>
      </c>
      <c r="B9" s="5" t="s">
        <v>18</v>
      </c>
      <c r="C9" s="5" t="s">
        <v>45</v>
      </c>
      <c r="D9" s="5" t="s">
        <v>9</v>
      </c>
      <c r="E9" s="5" t="s">
        <v>46</v>
      </c>
      <c r="F9" s="5" t="s">
        <v>47</v>
      </c>
    </row>
    <row r="10" spans="1:10" ht="28.8">
      <c r="A10" s="4">
        <v>109</v>
      </c>
      <c r="B10" s="5" t="s">
        <v>19</v>
      </c>
      <c r="C10" s="5" t="s">
        <v>48</v>
      </c>
      <c r="D10" s="5" t="s">
        <v>13</v>
      </c>
      <c r="E10" s="5" t="s">
        <v>49</v>
      </c>
      <c r="F10" s="5" t="s">
        <v>50</v>
      </c>
    </row>
    <row r="11" spans="1:10">
      <c r="A11" s="4">
        <v>110</v>
      </c>
      <c r="B11" s="5" t="s">
        <v>20</v>
      </c>
      <c r="C11" s="5" t="s">
        <v>51</v>
      </c>
      <c r="D11" s="5" t="s">
        <v>15</v>
      </c>
      <c r="E11" s="5" t="s">
        <v>52</v>
      </c>
      <c r="F11" s="5" t="s">
        <v>53</v>
      </c>
    </row>
    <row r="18" spans="2:6">
      <c r="B18" s="1" t="s">
        <v>81</v>
      </c>
      <c r="E18" s="13" t="s">
        <v>82</v>
      </c>
      <c r="F18" s="14" t="s">
        <v>83</v>
      </c>
    </row>
    <row r="19" spans="2:6">
      <c r="B19" s="1" t="s">
        <v>82</v>
      </c>
      <c r="E19" s="1">
        <f>SEARCH("@",F2)</f>
        <v>12</v>
      </c>
      <c r="F19" s="1" t="e" cm="1">
        <f t="array" ref="F19">SUBSTITUTE</f>
        <v>#NAME?</v>
      </c>
    </row>
    <row r="20" spans="2:6">
      <c r="E20" s="1">
        <f t="shared" ref="E20:E26" si="0">SEARCH("@",F3)</f>
        <v>12</v>
      </c>
    </row>
    <row r="21" spans="2:6">
      <c r="E21" s="1">
        <f t="shared" si="0"/>
        <v>12</v>
      </c>
    </row>
    <row r="22" spans="2:6">
      <c r="E22" s="1">
        <f t="shared" si="0"/>
        <v>12</v>
      </c>
    </row>
    <row r="23" spans="2:6">
      <c r="E23" s="1">
        <f t="shared" si="0"/>
        <v>12</v>
      </c>
    </row>
    <row r="24" spans="2:6">
      <c r="E24" s="1">
        <f t="shared" si="0"/>
        <v>14</v>
      </c>
    </row>
    <row r="25" spans="2:6">
      <c r="E25" s="1">
        <f t="shared" si="0"/>
        <v>12</v>
      </c>
    </row>
    <row r="26" spans="2:6">
      <c r="E26" s="1">
        <f t="shared" si="0"/>
        <v>12</v>
      </c>
    </row>
    <row r="27" spans="2:6">
      <c r="E27" s="1">
        <f>SEARCH("@",F10)</f>
        <v>12</v>
      </c>
    </row>
    <row r="28" spans="2:6">
      <c r="E28" s="1">
        <f>SEARCH("@",F11)</f>
        <v>11</v>
      </c>
    </row>
  </sheetData>
  <hyperlinks>
    <hyperlink ref="F2" r:id="rId1" tooltip="mailto:amit.sharma@gmail.com" xr:uid="{00000000-0004-0000-0100-000000000000}"/>
    <hyperlink ref="F3" r:id="rId2" tooltip="mailto:priya.verma@yahoo.com" xr:uid="{00000000-0004-0000-0100-000001000000}"/>
    <hyperlink ref="F4" r:id="rId3" tooltip="mailto:rahul.patil@company.com" xr:uid="{00000000-0004-0000-0100-000002000000}"/>
    <hyperlink ref="F5" r:id="rId4" tooltip="mailto:sneha.joshi@gmail.com" xr:uid="{00000000-0004-0000-0100-000003000000}"/>
    <hyperlink ref="F6" r:id="rId5" tooltip="mailto:karan.mehta@outlook.com" xr:uid="{00000000-0004-0000-0100-000004000000}"/>
    <hyperlink ref="F7" r:id="rId6" tooltip="mailto:neha.kulkarni@gmail.com" xr:uid="{00000000-0004-0000-0100-000005000000}"/>
    <hyperlink ref="F8" r:id="rId7" tooltip="mailto:arjun.singh@yahoo.com" xr:uid="{00000000-0004-0000-0100-000006000000}"/>
    <hyperlink ref="F9" r:id="rId8" tooltip="mailto:meera.desai@gmail.com" xr:uid="{00000000-0004-0000-0100-000007000000}"/>
    <hyperlink ref="F10" r:id="rId9" tooltip="mailto:rohan.gupta@company.com" xr:uid="{00000000-0004-0000-0100-000008000000}"/>
    <hyperlink ref="F11" r:id="rId10" tooltip="mailto:pooja.nair@gmail.com" xr:uid="{00000000-0004-0000-0100-000009000000}"/>
  </hyperlinks>
  <pageMargins left="0.75" right="0.75" top="1" bottom="1" header="0.5" footer="0.5"/>
  <pageSetup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topLeftCell="B1" zoomScale="102" workbookViewId="0">
      <selection activeCell="J2" sqref="J2"/>
    </sheetView>
  </sheetViews>
  <sheetFormatPr defaultColWidth="24.77734375" defaultRowHeight="14.4"/>
  <cols>
    <col min="1" max="4" width="17.5546875" style="1" customWidth="1"/>
    <col min="5" max="5" width="24.77734375" style="1" customWidth="1"/>
    <col min="6" max="16384" width="24.77734375" style="1"/>
  </cols>
  <sheetData>
    <row r="1" spans="1:10">
      <c r="A1" s="6" t="s">
        <v>54</v>
      </c>
      <c r="B1" s="7" t="s">
        <v>55</v>
      </c>
      <c r="C1" s="7" t="s">
        <v>56</v>
      </c>
      <c r="D1" s="7" t="s">
        <v>57</v>
      </c>
      <c r="E1" s="14" t="s">
        <v>91</v>
      </c>
      <c r="F1" s="14" t="s">
        <v>92</v>
      </c>
      <c r="G1" s="14" t="s">
        <v>93</v>
      </c>
      <c r="H1" s="14" t="s">
        <v>94</v>
      </c>
      <c r="I1" s="14" t="s">
        <v>95</v>
      </c>
      <c r="J1" s="14" t="s">
        <v>96</v>
      </c>
    </row>
    <row r="2" spans="1:10">
      <c r="A2" s="4">
        <v>1001</v>
      </c>
      <c r="B2" s="5" t="s">
        <v>58</v>
      </c>
      <c r="C2" s="8">
        <v>46027</v>
      </c>
      <c r="D2" s="8">
        <v>46042</v>
      </c>
      <c r="E2" s="1">
        <f>DAY(C2)</f>
        <v>5</v>
      </c>
      <c r="F2" s="1">
        <f>MONTH(C2)</f>
        <v>1</v>
      </c>
      <c r="G2" s="1">
        <f>YEAR(C2)</f>
        <v>2026</v>
      </c>
      <c r="H2" s="15">
        <f>DATE(2025,7,25)</f>
        <v>45863</v>
      </c>
      <c r="I2" s="1">
        <f>_xlfn.DAYS(D2,C2)</f>
        <v>15</v>
      </c>
      <c r="J2" s="1">
        <f>WEEKDAY(D2,2)</f>
        <v>2</v>
      </c>
    </row>
    <row r="3" spans="1:10" ht="28.8">
      <c r="A3" s="4">
        <v>1002</v>
      </c>
      <c r="B3" s="5" t="s">
        <v>59</v>
      </c>
      <c r="C3" s="8">
        <v>46065</v>
      </c>
      <c r="D3" s="8">
        <v>46079</v>
      </c>
      <c r="E3" s="1">
        <f t="shared" ref="E3:E11" si="0">DAY(C3)</f>
        <v>12</v>
      </c>
      <c r="F3" s="1">
        <f t="shared" ref="F3:F11" si="1">MONTH(C3)</f>
        <v>2</v>
      </c>
      <c r="G3" s="1">
        <f t="shared" ref="G3:G11" si="2">YEAR(C3)</f>
        <v>2026</v>
      </c>
      <c r="I3" s="1">
        <f t="shared" ref="I3:I11" si="3">_xlfn.DAYS(D3,C3)</f>
        <v>14</v>
      </c>
      <c r="J3" s="1">
        <f t="shared" ref="J3:J11" si="4">WEEKDAY(D3,2)</f>
        <v>4</v>
      </c>
    </row>
    <row r="4" spans="1:10">
      <c r="A4" s="4">
        <v>1003</v>
      </c>
      <c r="B4" s="5" t="s">
        <v>60</v>
      </c>
      <c r="C4" s="8">
        <v>46099</v>
      </c>
      <c r="D4" s="8">
        <v>46113</v>
      </c>
      <c r="E4" s="1">
        <f t="shared" si="0"/>
        <v>18</v>
      </c>
      <c r="F4" s="1">
        <f t="shared" si="1"/>
        <v>3</v>
      </c>
      <c r="G4" s="1">
        <f t="shared" si="2"/>
        <v>2026</v>
      </c>
      <c r="I4" s="1">
        <f t="shared" si="3"/>
        <v>14</v>
      </c>
      <c r="J4" s="1">
        <f t="shared" si="4"/>
        <v>3</v>
      </c>
    </row>
    <row r="5" spans="1:10">
      <c r="A5" s="4">
        <v>1004</v>
      </c>
      <c r="B5" s="5" t="s">
        <v>61</v>
      </c>
      <c r="C5" s="8">
        <v>46137</v>
      </c>
      <c r="D5" s="8">
        <v>46152</v>
      </c>
      <c r="E5" s="1">
        <f t="shared" si="0"/>
        <v>25</v>
      </c>
      <c r="F5" s="1">
        <f t="shared" si="1"/>
        <v>4</v>
      </c>
      <c r="G5" s="1">
        <f t="shared" si="2"/>
        <v>2026</v>
      </c>
      <c r="I5" s="1">
        <f t="shared" si="3"/>
        <v>15</v>
      </c>
      <c r="J5" s="1">
        <f t="shared" si="4"/>
        <v>7</v>
      </c>
    </row>
    <row r="6" spans="1:10">
      <c r="A6" s="4">
        <v>1005</v>
      </c>
      <c r="B6" s="5" t="s">
        <v>62</v>
      </c>
      <c r="C6" s="8">
        <v>46151</v>
      </c>
      <c r="D6" s="8">
        <v>46165</v>
      </c>
      <c r="E6" s="1">
        <f t="shared" si="0"/>
        <v>9</v>
      </c>
      <c r="F6" s="1">
        <f t="shared" si="1"/>
        <v>5</v>
      </c>
      <c r="G6" s="1">
        <f t="shared" si="2"/>
        <v>2026</v>
      </c>
      <c r="I6" s="1">
        <f t="shared" si="3"/>
        <v>14</v>
      </c>
      <c r="J6" s="1">
        <f t="shared" si="4"/>
        <v>6</v>
      </c>
    </row>
    <row r="7" spans="1:10">
      <c r="A7" s="4">
        <v>1006</v>
      </c>
      <c r="B7" s="5" t="s">
        <v>63</v>
      </c>
      <c r="C7" s="8">
        <v>46188</v>
      </c>
      <c r="D7" s="8">
        <v>46203</v>
      </c>
      <c r="E7" s="1">
        <f t="shared" si="0"/>
        <v>15</v>
      </c>
      <c r="F7" s="1">
        <f t="shared" si="1"/>
        <v>6</v>
      </c>
      <c r="G7" s="1">
        <f t="shared" si="2"/>
        <v>2026</v>
      </c>
      <c r="I7" s="1">
        <f t="shared" si="3"/>
        <v>15</v>
      </c>
      <c r="J7" s="1">
        <f t="shared" si="4"/>
        <v>2</v>
      </c>
    </row>
    <row r="8" spans="1:10">
      <c r="A8" s="4">
        <v>1007</v>
      </c>
      <c r="B8" s="5" t="s">
        <v>64</v>
      </c>
      <c r="C8" s="8">
        <v>46225</v>
      </c>
      <c r="D8" s="8">
        <v>46239</v>
      </c>
      <c r="E8" s="1">
        <f t="shared" si="0"/>
        <v>22</v>
      </c>
      <c r="F8" s="1">
        <f t="shared" si="1"/>
        <v>7</v>
      </c>
      <c r="G8" s="1">
        <f t="shared" si="2"/>
        <v>2026</v>
      </c>
      <c r="I8" s="1">
        <f t="shared" si="3"/>
        <v>14</v>
      </c>
      <c r="J8" s="1">
        <f t="shared" si="4"/>
        <v>3</v>
      </c>
    </row>
    <row r="9" spans="1:10">
      <c r="A9" s="4">
        <v>1008</v>
      </c>
      <c r="B9" s="5" t="s">
        <v>65</v>
      </c>
      <c r="C9" s="8">
        <v>46237</v>
      </c>
      <c r="D9" s="8">
        <v>46252</v>
      </c>
      <c r="E9" s="1">
        <f t="shared" si="0"/>
        <v>3</v>
      </c>
      <c r="F9" s="1">
        <f t="shared" si="1"/>
        <v>8</v>
      </c>
      <c r="G9" s="1">
        <f t="shared" si="2"/>
        <v>2026</v>
      </c>
      <c r="I9" s="1">
        <f t="shared" si="3"/>
        <v>15</v>
      </c>
      <c r="J9" s="1">
        <f t="shared" si="4"/>
        <v>2</v>
      </c>
    </row>
    <row r="10" spans="1:10">
      <c r="A10" s="4">
        <v>1009</v>
      </c>
      <c r="B10" s="5" t="s">
        <v>66</v>
      </c>
      <c r="C10" s="8">
        <v>46279</v>
      </c>
      <c r="D10" s="8">
        <v>46294</v>
      </c>
      <c r="E10" s="1">
        <f t="shared" si="0"/>
        <v>14</v>
      </c>
      <c r="F10" s="1">
        <f t="shared" si="1"/>
        <v>9</v>
      </c>
      <c r="G10" s="1">
        <f t="shared" si="2"/>
        <v>2026</v>
      </c>
      <c r="I10" s="1">
        <f t="shared" si="3"/>
        <v>15</v>
      </c>
      <c r="J10" s="1">
        <f t="shared" si="4"/>
        <v>2</v>
      </c>
    </row>
    <row r="11" spans="1:10">
      <c r="A11" s="4">
        <v>1010</v>
      </c>
      <c r="B11" s="5" t="s">
        <v>67</v>
      </c>
      <c r="C11" s="8">
        <v>46322</v>
      </c>
      <c r="D11" s="8">
        <v>46337</v>
      </c>
      <c r="E11" s="1">
        <f t="shared" si="0"/>
        <v>27</v>
      </c>
      <c r="F11" s="1">
        <f t="shared" si="1"/>
        <v>10</v>
      </c>
      <c r="G11" s="1">
        <f t="shared" si="2"/>
        <v>2026</v>
      </c>
      <c r="I11" s="1">
        <f t="shared" si="3"/>
        <v>15</v>
      </c>
      <c r="J11" s="1">
        <f t="shared" si="4"/>
        <v>3</v>
      </c>
    </row>
    <row r="18" spans="1:4">
      <c r="A18" s="14" t="s">
        <v>89</v>
      </c>
      <c r="B18" s="15">
        <v>46234</v>
      </c>
      <c r="C18" s="14" t="s">
        <v>88</v>
      </c>
      <c r="D18" s="15">
        <v>46234</v>
      </c>
    </row>
    <row r="19" spans="1:4">
      <c r="A19" s="14" t="s">
        <v>90</v>
      </c>
      <c r="B19" s="16">
        <f ca="1">NOW()</f>
        <v>46237.652789699074</v>
      </c>
    </row>
    <row r="20" spans="1:4">
      <c r="A20" s="14" t="s">
        <v>84</v>
      </c>
      <c r="B20" s="1">
        <f>DAY(B18)</f>
        <v>31</v>
      </c>
    </row>
    <row r="21" spans="1:4">
      <c r="A21" s="14" t="s">
        <v>85</v>
      </c>
    </row>
    <row r="22" spans="1:4">
      <c r="A22" s="14" t="s">
        <v>86</v>
      </c>
    </row>
    <row r="23" spans="1:4">
      <c r="A23" s="14" t="s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3"/>
  <sheetViews>
    <sheetView tabSelected="1" topLeftCell="E1" zoomScale="98" zoomScaleNormal="98" workbookViewId="0">
      <selection activeCell="J17" sqref="J17"/>
    </sheetView>
  </sheetViews>
  <sheetFormatPr defaultColWidth="15.77734375" defaultRowHeight="14.4"/>
  <cols>
    <col min="1" max="4" width="15.77734375" style="14"/>
    <col min="5" max="5" width="16.21875" style="14" customWidth="1"/>
    <col min="6" max="8" width="15.77734375" style="14"/>
    <col min="9" max="9" width="12.88671875" style="14" customWidth="1"/>
    <col min="10" max="10" width="24.21875" style="14" customWidth="1"/>
    <col min="11" max="11" width="18.6640625" style="14" customWidth="1"/>
    <col min="12" max="12" width="19.109375" style="14" customWidth="1"/>
    <col min="13" max="16384" width="15.77734375" style="14"/>
  </cols>
  <sheetData>
    <row r="1" spans="1:16" s="13" customFormat="1" ht="43.2">
      <c r="A1" s="25" t="s">
        <v>68</v>
      </c>
      <c r="B1" s="25" t="s">
        <v>69</v>
      </c>
      <c r="C1" s="25" t="s">
        <v>70</v>
      </c>
      <c r="D1" s="25" t="s">
        <v>71</v>
      </c>
      <c r="E1" s="25" t="s">
        <v>72</v>
      </c>
      <c r="F1" s="25" t="s">
        <v>73</v>
      </c>
      <c r="G1" s="26" t="s">
        <v>108</v>
      </c>
      <c r="H1" s="26" t="s">
        <v>112</v>
      </c>
      <c r="I1" s="27" t="s">
        <v>114</v>
      </c>
      <c r="J1" s="27" t="s">
        <v>117</v>
      </c>
      <c r="K1" s="27" t="s">
        <v>118</v>
      </c>
      <c r="L1" s="26" t="s">
        <v>119</v>
      </c>
      <c r="M1" s="26" t="s">
        <v>120</v>
      </c>
      <c r="N1" s="27" t="s">
        <v>121</v>
      </c>
      <c r="O1" s="27" t="s">
        <v>124</v>
      </c>
      <c r="P1" s="27" t="s">
        <v>126</v>
      </c>
    </row>
    <row r="2" spans="1:16">
      <c r="A2" s="28">
        <v>101</v>
      </c>
      <c r="B2" s="29" t="s">
        <v>74</v>
      </c>
      <c r="C2" s="30" t="s">
        <v>75</v>
      </c>
      <c r="D2" s="31">
        <v>85</v>
      </c>
      <c r="E2" s="31">
        <v>92</v>
      </c>
      <c r="F2" s="30" t="s">
        <v>76</v>
      </c>
      <c r="G2" s="32" t="str">
        <f>IF(D2&gt;40,"PASS","FAIL")</f>
        <v>PASS</v>
      </c>
      <c r="H2" s="32" t="str" cm="1">
        <f t="array" ref="H2">_xlfn.SWITCH(C2,"Python","Jay Sir","SQL", "Pritam Sir","Excel","Nisha Mam","Power BI","Parth Sir")</f>
        <v>Jay Sir</v>
      </c>
      <c r="I2" s="33">
        <f>SUMIF(C2:C11,"Python",D2:D11)</f>
        <v>253</v>
      </c>
      <c r="J2" s="33">
        <f>AVERAGEIF(C2:C11,"Excel",D2:D11)</f>
        <v>63.5</v>
      </c>
      <c r="K2" s="33">
        <f>COUNTIF(F2:F11,"pending")</f>
        <v>4</v>
      </c>
      <c r="L2" s="32">
        <f>IFERROR(D2/E2,"Cannot divide by zero")</f>
        <v>0.92391304347826086</v>
      </c>
      <c r="M2" s="32" t="str" cm="1">
        <f t="array" ref="M2">_xlfn.IFS(D2&gt;90,"A+",D2&gt;80,"A",D2&gt;70,"B",D2&gt;55,"C",D2&gt;40,"D",D2&lt;=40,"Fail")</f>
        <v>A</v>
      </c>
      <c r="N2" s="33" t="str">
        <f>IF(AND(D2&gt;50,E2&gt;75),"Eligible","NotEligible")</f>
        <v>Eligible</v>
      </c>
      <c r="O2" s="33" t="str">
        <f>IF(OR(D2&lt;50,E2&lt;60),"Retest","No Retest")</f>
        <v>No Retest</v>
      </c>
      <c r="P2" s="33" t="b">
        <f>NOT(F2="Paid")</f>
        <v>0</v>
      </c>
    </row>
    <row r="3" spans="1:16">
      <c r="A3" s="22">
        <v>102</v>
      </c>
      <c r="B3" s="23" t="s">
        <v>10</v>
      </c>
      <c r="C3" s="21" t="s">
        <v>77</v>
      </c>
      <c r="D3" s="20">
        <v>48</v>
      </c>
      <c r="E3" s="20">
        <v>78</v>
      </c>
      <c r="F3" s="21" t="s">
        <v>78</v>
      </c>
      <c r="G3" s="18" t="str">
        <f t="shared" ref="G3:G11" si="0">IF(D3&gt;40,"PASS","FAIL")</f>
        <v>PASS</v>
      </c>
      <c r="H3" s="18" t="str" cm="1">
        <f t="array" ref="H3">_xlfn.SWITCH(C3,"Python","Jay Sir","SQL", "Pritam Sir","Excel","Nisha Mam","Power BI","Parth Sir")</f>
        <v>Pritam Sir</v>
      </c>
      <c r="I3" s="18"/>
      <c r="J3" s="19"/>
      <c r="K3" s="18"/>
      <c r="L3" s="18">
        <f t="shared" ref="L3:L11" si="1">IFERROR(D3/E3,"Cannot divide by zero")</f>
        <v>0.61538461538461542</v>
      </c>
      <c r="M3" s="32" t="str" cm="1">
        <f t="array" ref="M3">_xlfn.IFS(D3&gt;90,"A+",D3&gt;80,"A",D3&gt;70,"B",D3&gt;55,"C",D3&gt;40,"D",D3&lt;=40,"Fail")</f>
        <v>D</v>
      </c>
      <c r="N3" s="19" t="str">
        <f t="shared" ref="N3:N11" si="2">IF(AND(D3&gt;50,E3&gt;75),"Eligible","NotEligible")</f>
        <v>NotEligible</v>
      </c>
      <c r="O3" s="18" t="str">
        <f t="shared" ref="O3:O11" si="3">IF(OR(D3&lt;50,E3&lt;60),"Retest","No Retest")</f>
        <v>Retest</v>
      </c>
      <c r="P3" s="19" t="b">
        <f t="shared" ref="P3:P11" si="4">NOT(F3="Paid")</f>
        <v>1</v>
      </c>
    </row>
    <row r="4" spans="1:16">
      <c r="A4" s="28">
        <v>103</v>
      </c>
      <c r="B4" s="29" t="s">
        <v>12</v>
      </c>
      <c r="C4" s="30" t="s">
        <v>79</v>
      </c>
      <c r="D4" s="31">
        <v>72</v>
      </c>
      <c r="E4" s="31">
        <v>88</v>
      </c>
      <c r="F4" s="30" t="s">
        <v>76</v>
      </c>
      <c r="G4" s="32" t="str">
        <f t="shared" si="0"/>
        <v>PASS</v>
      </c>
      <c r="H4" s="32" t="str" cm="1">
        <f t="array" ref="H4">_xlfn.SWITCH(C4,"Python","Jay Sir","SQL", "Pritam Sir","Excel","Nisha Mam","Power BI","Parth Sir")</f>
        <v>Nisha Mam</v>
      </c>
      <c r="I4" s="32"/>
      <c r="J4" s="32"/>
      <c r="K4" s="32"/>
      <c r="L4" s="32">
        <f t="shared" si="1"/>
        <v>0.81818181818181823</v>
      </c>
      <c r="M4" s="32" t="str" cm="1">
        <f t="array" ref="M4">_xlfn.IFS(D4&gt;90,"A+",D4&gt;80,"A",D4&gt;70,"B",D4&gt;55,"C",D4&gt;40,"D",D4&lt;=40,"Fail")</f>
        <v>B</v>
      </c>
      <c r="N4" s="32" t="str">
        <f t="shared" si="2"/>
        <v>Eligible</v>
      </c>
      <c r="O4" s="32" t="str">
        <f t="shared" si="3"/>
        <v>No Retest</v>
      </c>
      <c r="P4" s="32" t="b">
        <f t="shared" si="4"/>
        <v>0</v>
      </c>
    </row>
    <row r="5" spans="1:16">
      <c r="A5" s="22">
        <v>104</v>
      </c>
      <c r="B5" s="23" t="s">
        <v>14</v>
      </c>
      <c r="C5" s="21" t="s">
        <v>80</v>
      </c>
      <c r="D5" s="20">
        <v>35</v>
      </c>
      <c r="E5" s="20">
        <v>65</v>
      </c>
      <c r="F5" s="21" t="s">
        <v>78</v>
      </c>
      <c r="G5" s="18" t="str">
        <f t="shared" si="0"/>
        <v>FAIL</v>
      </c>
      <c r="H5" s="18" t="str" cm="1">
        <f t="array" ref="H5">_xlfn.SWITCH(C5,"Python","Jay Sir","SQL", "Pritam Sir","Excel","Nisha Mam","Power BI","Parth Sir")</f>
        <v>Parth Sir</v>
      </c>
      <c r="I5" s="18"/>
      <c r="J5" s="19"/>
      <c r="K5" s="18"/>
      <c r="L5" s="18">
        <f t="shared" si="1"/>
        <v>0.53846153846153844</v>
      </c>
      <c r="M5" s="32" t="str" cm="1">
        <f t="array" ref="M5">_xlfn.IFS(D5&gt;90,"A+",D5&gt;80,"A",D5&gt;70,"B",D5&gt;55,"C",D5&gt;40,"D",D5&lt;=40,"Fail")</f>
        <v>Fail</v>
      </c>
      <c r="N5" s="19" t="str">
        <f t="shared" si="2"/>
        <v>NotEligible</v>
      </c>
      <c r="O5" s="18" t="str">
        <f t="shared" si="3"/>
        <v>Retest</v>
      </c>
      <c r="P5" s="19" t="b">
        <f t="shared" si="4"/>
        <v>1</v>
      </c>
    </row>
    <row r="6" spans="1:16">
      <c r="A6" s="28">
        <v>105</v>
      </c>
      <c r="B6" s="29" t="s">
        <v>16</v>
      </c>
      <c r="C6" s="30" t="s">
        <v>75</v>
      </c>
      <c r="D6" s="31">
        <v>91</v>
      </c>
      <c r="E6" s="31">
        <v>95</v>
      </c>
      <c r="F6" s="30" t="s">
        <v>76</v>
      </c>
      <c r="G6" s="32" t="str">
        <f t="shared" si="0"/>
        <v>PASS</v>
      </c>
      <c r="H6" s="32" t="str" cm="1">
        <f t="array" ref="H6">_xlfn.SWITCH(C6,"Python","Jay Sir","SQL", "Pritam Sir","Excel","Nisha Mam","Power BI","Parth Sir")</f>
        <v>Jay Sir</v>
      </c>
      <c r="I6" s="32"/>
      <c r="J6" s="32"/>
      <c r="K6" s="32"/>
      <c r="L6" s="32">
        <f t="shared" si="1"/>
        <v>0.95789473684210524</v>
      </c>
      <c r="M6" s="32" t="str" cm="1">
        <f t="array" ref="M6">_xlfn.IFS(D6&gt;90,"A+",D6&gt;80,"A",D6&gt;70,"B",D6&gt;55,"C",D6&gt;40,"D",D6&lt;=40,"Fail")</f>
        <v>A+</v>
      </c>
      <c r="N6" s="32" t="str">
        <f t="shared" si="2"/>
        <v>Eligible</v>
      </c>
      <c r="O6" s="32" t="str">
        <f t="shared" si="3"/>
        <v>No Retest</v>
      </c>
      <c r="P6" s="32" t="b">
        <f t="shared" si="4"/>
        <v>0</v>
      </c>
    </row>
    <row r="7" spans="1:16">
      <c r="A7" s="22">
        <v>106</v>
      </c>
      <c r="B7" s="23" t="s">
        <v>6</v>
      </c>
      <c r="C7" s="21" t="s">
        <v>77</v>
      </c>
      <c r="D7" s="20">
        <v>60</v>
      </c>
      <c r="E7" s="20">
        <v>82</v>
      </c>
      <c r="F7" s="21" t="s">
        <v>76</v>
      </c>
      <c r="G7" s="18" t="str">
        <f t="shared" si="0"/>
        <v>PASS</v>
      </c>
      <c r="H7" s="18" t="str" cm="1">
        <f t="array" ref="H7">_xlfn.SWITCH(C7,"Python","Jay Sir","SQL", "Pritam Sir","Excel","Nisha Mam","Power BI","Parth Sir")</f>
        <v>Pritam Sir</v>
      </c>
      <c r="I7" s="18"/>
      <c r="J7" s="18"/>
      <c r="K7" s="18"/>
      <c r="L7" s="18">
        <f t="shared" si="1"/>
        <v>0.73170731707317072</v>
      </c>
      <c r="M7" s="32" t="str" cm="1">
        <f t="array" ref="M7">_xlfn.IFS(D7&gt;90,"A+",D7&gt;80,"A",D7&gt;70,"B",D7&gt;55,"C",D7&gt;40,"D",D7&lt;=40,"Fail")</f>
        <v>C</v>
      </c>
      <c r="N7" s="18" t="str">
        <f t="shared" si="2"/>
        <v>Eligible</v>
      </c>
      <c r="O7" s="18" t="str">
        <f t="shared" si="3"/>
        <v>No Retest</v>
      </c>
      <c r="P7" s="18" t="b">
        <f t="shared" si="4"/>
        <v>0</v>
      </c>
    </row>
    <row r="8" spans="1:16">
      <c r="A8" s="28">
        <v>107</v>
      </c>
      <c r="B8" s="29" t="s">
        <v>8</v>
      </c>
      <c r="C8" s="30" t="s">
        <v>79</v>
      </c>
      <c r="D8" s="31">
        <v>55</v>
      </c>
      <c r="E8" s="31">
        <v>74</v>
      </c>
      <c r="F8" s="30" t="s">
        <v>78</v>
      </c>
      <c r="G8" s="32" t="str">
        <f t="shared" si="0"/>
        <v>PASS</v>
      </c>
      <c r="H8" s="32" t="str" cm="1">
        <f t="array" ref="H8">_xlfn.SWITCH(C8,"Python","Jay Sir","SQL", "Pritam Sir","Excel","Nisha Mam","Power BI","Parth Sir")</f>
        <v>Nisha Mam</v>
      </c>
      <c r="I8" s="32"/>
      <c r="J8" s="32"/>
      <c r="K8" s="32"/>
      <c r="L8" s="32">
        <f t="shared" si="1"/>
        <v>0.7432432432432432</v>
      </c>
      <c r="M8" s="32" t="str" cm="1">
        <f t="array" ref="M8">_xlfn.IFS(D8&gt;90,"A+",D8&gt;80,"A",D8&gt;70,"B",D8&gt;55,"C",D8&gt;40,"D",D8&lt;=40,"Fail")</f>
        <v>D</v>
      </c>
      <c r="N8" s="32" t="str">
        <f t="shared" si="2"/>
        <v>NotEligible</v>
      </c>
      <c r="O8" s="32" t="str">
        <f t="shared" si="3"/>
        <v>No Retest</v>
      </c>
      <c r="P8" s="32" t="b">
        <f t="shared" si="4"/>
        <v>1</v>
      </c>
    </row>
    <row r="9" spans="1:16">
      <c r="A9" s="22">
        <v>108</v>
      </c>
      <c r="B9" s="23" t="s">
        <v>19</v>
      </c>
      <c r="C9" s="21" t="s">
        <v>80</v>
      </c>
      <c r="D9" s="20">
        <v>40</v>
      </c>
      <c r="E9" s="20">
        <v>80</v>
      </c>
      <c r="F9" s="21" t="s">
        <v>76</v>
      </c>
      <c r="G9" s="18" t="str">
        <f t="shared" si="0"/>
        <v>FAIL</v>
      </c>
      <c r="H9" s="18" t="str" cm="1">
        <f t="array" ref="H9">_xlfn.SWITCH(C9,"Python","Jay Sir","SQL", "Pritam Sir","Excel","Nisha Mam","Power BI","Parth Sir")</f>
        <v>Parth Sir</v>
      </c>
      <c r="I9" s="18"/>
      <c r="J9" s="18"/>
      <c r="K9" s="18"/>
      <c r="L9" s="18">
        <f t="shared" si="1"/>
        <v>0.5</v>
      </c>
      <c r="M9" s="32" t="str" cm="1">
        <f t="array" ref="M9">_xlfn.IFS(D9&gt;90,"A+",D9&gt;80,"A",D9&gt;70,"B",D9&gt;55,"C",D9&gt;40,"D",D9&lt;=40,"Fail")</f>
        <v>Fail</v>
      </c>
      <c r="N9" s="18" t="str">
        <f t="shared" si="2"/>
        <v>NotEligible</v>
      </c>
      <c r="O9" s="18" t="str">
        <f t="shared" si="3"/>
        <v>Retest</v>
      </c>
      <c r="P9" s="18" t="b">
        <f t="shared" si="4"/>
        <v>0</v>
      </c>
    </row>
    <row r="10" spans="1:16">
      <c r="A10" s="28">
        <v>109</v>
      </c>
      <c r="B10" s="29" t="s">
        <v>18</v>
      </c>
      <c r="C10" s="30" t="s">
        <v>75</v>
      </c>
      <c r="D10" s="31">
        <v>77</v>
      </c>
      <c r="E10" s="31">
        <v>90</v>
      </c>
      <c r="F10" s="30" t="s">
        <v>76</v>
      </c>
      <c r="G10" s="32" t="str">
        <f t="shared" si="0"/>
        <v>PASS</v>
      </c>
      <c r="H10" s="32" t="str" cm="1">
        <f t="array" ref="H10">_xlfn.SWITCH(C10,"Python","Jay Sir","SQL", "Pritam Sir","Excel","Nisha Mam","Power BI","Parth Sir")</f>
        <v>Jay Sir</v>
      </c>
      <c r="I10" s="32"/>
      <c r="J10" s="32"/>
      <c r="K10" s="32"/>
      <c r="L10" s="32">
        <f t="shared" si="1"/>
        <v>0.85555555555555551</v>
      </c>
      <c r="M10" s="32" t="str" cm="1">
        <f t="array" ref="M10">_xlfn.IFS(D10&gt;90,"A+",D10&gt;80,"A",D10&gt;70,"B",D10&gt;55,"C",D10&gt;40,"D",D10&lt;=40,"Fail")</f>
        <v>B</v>
      </c>
      <c r="N10" s="32" t="str">
        <f t="shared" si="2"/>
        <v>Eligible</v>
      </c>
      <c r="O10" s="32" t="str">
        <f t="shared" si="3"/>
        <v>No Retest</v>
      </c>
      <c r="P10" s="32" t="b">
        <f t="shared" si="4"/>
        <v>0</v>
      </c>
    </row>
    <row r="11" spans="1:16">
      <c r="A11" s="22">
        <v>110</v>
      </c>
      <c r="B11" s="23" t="s">
        <v>17</v>
      </c>
      <c r="C11" s="21" t="s">
        <v>77</v>
      </c>
      <c r="D11" s="20">
        <v>28</v>
      </c>
      <c r="E11" s="20">
        <v>68</v>
      </c>
      <c r="F11" s="21" t="s">
        <v>78</v>
      </c>
      <c r="G11" s="18" t="str">
        <f t="shared" si="0"/>
        <v>FAIL</v>
      </c>
      <c r="H11" s="18" t="str" cm="1">
        <f t="array" ref="H11">_xlfn.SWITCH(C11,"Python","Jay Sir","SQL", "Pritam Sir","Excel","Nisha Mam","Power BI","Parth Sir")</f>
        <v>Pritam Sir</v>
      </c>
      <c r="I11" s="18"/>
      <c r="J11" s="18"/>
      <c r="K11" s="18"/>
      <c r="L11" s="18">
        <f t="shared" si="1"/>
        <v>0.41176470588235292</v>
      </c>
      <c r="M11" s="32" t="str" cm="1">
        <f t="array" ref="M11">_xlfn.IFS(D11&gt;90,"A+",D11&gt;80,"A",D11&gt;70,"B",D11&gt;55,"C",D11&gt;40,"D",D11&lt;=40,"Fail")</f>
        <v>Fail</v>
      </c>
      <c r="N11" s="18" t="str">
        <f t="shared" si="2"/>
        <v>NotEligible</v>
      </c>
      <c r="O11" s="18" t="str">
        <f t="shared" si="3"/>
        <v>Retest</v>
      </c>
      <c r="P11" s="18" t="b">
        <f t="shared" si="4"/>
        <v>1</v>
      </c>
    </row>
    <row r="12" spans="1:16" ht="15" thickBot="1">
      <c r="D12" s="24">
        <f>SUM(D2:D11)</f>
        <v>591</v>
      </c>
    </row>
    <row r="21" spans="1:1">
      <c r="A21" s="14" t="s">
        <v>97</v>
      </c>
    </row>
    <row r="22" spans="1:1">
      <c r="A22" s="14" t="s">
        <v>98</v>
      </c>
    </row>
    <row r="23" spans="1:1">
      <c r="A23" s="14" t="s">
        <v>110</v>
      </c>
    </row>
    <row r="24" spans="1:1">
      <c r="A24" s="14" t="s">
        <v>113</v>
      </c>
    </row>
    <row r="25" spans="1:1">
      <c r="A25" s="14" t="s">
        <v>99</v>
      </c>
    </row>
    <row r="26" spans="1:1">
      <c r="A26" s="14" t="s">
        <v>100</v>
      </c>
    </row>
    <row r="27" spans="1:1">
      <c r="A27" s="14" t="s">
        <v>101</v>
      </c>
    </row>
    <row r="28" spans="1:1">
      <c r="A28" s="14" t="s">
        <v>102</v>
      </c>
    </row>
    <row r="29" spans="1:1">
      <c r="A29" s="14" t="s">
        <v>104</v>
      </c>
    </row>
    <row r="30" spans="1:1">
      <c r="A30" s="14" t="s">
        <v>105</v>
      </c>
    </row>
    <row r="31" spans="1:1">
      <c r="A31" s="14" t="s">
        <v>106</v>
      </c>
    </row>
    <row r="32" spans="1:1">
      <c r="A32" s="14" t="s">
        <v>107</v>
      </c>
    </row>
    <row r="35" spans="1:1" ht="15" thickBot="1">
      <c r="A35" s="17" t="s">
        <v>109</v>
      </c>
    </row>
    <row r="37" spans="1:1">
      <c r="A37" s="14" t="s">
        <v>103</v>
      </c>
    </row>
    <row r="38" spans="1:1">
      <c r="A38" s="14" t="s">
        <v>111</v>
      </c>
    </row>
    <row r="39" spans="1:1">
      <c r="A39" s="14" t="s">
        <v>115</v>
      </c>
    </row>
    <row r="40" spans="1:1">
      <c r="A40" s="14" t="s">
        <v>116</v>
      </c>
    </row>
    <row r="41" spans="1:1">
      <c r="A41" s="14" t="s">
        <v>122</v>
      </c>
    </row>
    <row r="42" spans="1:1">
      <c r="A42" s="14" t="s">
        <v>123</v>
      </c>
    </row>
    <row r="43" spans="1:1">
      <c r="A43" s="14" t="s">
        <v>125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Employee-1</vt:lpstr>
      <vt:lpstr>Employee-2</vt:lpstr>
      <vt:lpstr>Book-Library</vt:lpstr>
      <vt:lpstr>Students_Exam_Results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Darshana Shintre</cp:lastModifiedBy>
  <dcterms:created xsi:type="dcterms:W3CDTF">2026-07-02T13:39:58Z</dcterms:created>
  <dcterms:modified xsi:type="dcterms:W3CDTF">2026-08-03T10:25:41Z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658A885B829845C38DD6B11D464FDE08_11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